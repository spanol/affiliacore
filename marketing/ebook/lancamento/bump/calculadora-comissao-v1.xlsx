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ia-me" sheetId="1" r:id="rId1"/>
    <sheet name="CPA" sheetId="2" r:id="rId2"/>
    <sheet name="RevShare" sheetId="3" r:id="rId3"/>
    <sheet name="Híbrido" sheetId="4" r:id="rId4"/>
    <sheet name="Agência" sheetId="5" r:id="rId5"/>
    <sheet name="Fluxo de caix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10.83203125" customWidth="1"/>
  </cols>
  <sheetData>
    <row r="1">
      <c r="A1" t="str">
        <v>CALCULADORA DE COMISSÃO DO AFILIADO — AffiliaCore</v>
      </c>
    </row>
    <row r="2">
      <c r="A2" t="str">
        <v>Material complementar do guia "Agência, não aposta" · affiliacore.com.br</v>
      </c>
    </row>
    <row r="4">
      <c r="A4" t="str">
        <v>COMO USAR</v>
      </c>
    </row>
    <row r="5">
      <c r="A5" t="str">
        <v>1. Preencha apenas as células AMARELAS (valores de exemplo já vêm preenchidos).</v>
      </c>
    </row>
    <row r="6">
      <c r="A6" t="str">
        <v>2. As células com fórmula calculam sozinhas — não as edite.</v>
      </c>
    </row>
    <row r="7">
      <c r="A7" t="str">
        <v>3. Percentuais são digitados como número decimal (30% = 0,30).</v>
      </c>
    </row>
    <row r="9">
      <c r="A9" t="str">
        <v>AS 5 ABAS</v>
      </c>
    </row>
    <row r="10">
      <c r="A10" t="str">
        <v>CPA — quanto rende um deal de CPA, descontando qualificação e estorno.</v>
      </c>
    </row>
    <row r="11">
      <c r="A11" t="str">
        <v>RevShare — a diferença entre o % "de face" e o % EFETIVO sobre a receita bruta (NGR).</v>
      </c>
    </row>
    <row r="12">
      <c r="A12" t="str">
        <v>Híbrido — CPA de entrada + RevShare recorrente combinados.</v>
      </c>
    </row>
    <row r="13">
      <c r="A13" t="str">
        <v>Agência — spread + override: a conta da margem de uma agência com sub-rede.</v>
      </c>
    </row>
    <row r="14">
      <c r="A14" t="str">
        <v>Fluxo de caixa — o descasamento entre produzir, receber da casa e repassar à rede.</v>
      </c>
    </row>
    <row r="16">
      <c r="A16" t="str">
        <v>AVISOS</v>
      </c>
    </row>
    <row r="17">
      <c r="A17" t="str">
        <v>Esta planilha é uma ferramenta educacional de modelagem. Nenhum número aqui é promessa de resultado.</v>
      </c>
    </row>
    <row r="18">
      <c r="A18" t="str">
        <v>Os parâmetros reais (CPA, %, base de cálculo, estorno) vêm do SEU contrato com cada operador — leia-o.</v>
      </c>
    </row>
    <row r="19">
      <c r="A19" t="str">
        <v>Aposta é entretenimento para maiores de 18 anos. Ministério da Fazenda adverte: Aposta não é investimento.</v>
      </c>
    </row>
  </sheetData>
  <ignoredErrors>
    <ignoredError numberStoredAsText="1" sqref="A1:A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58.83203125" customWidth="1"/>
    <col min="2" max="2" width="16.83203125" customWidth="1"/>
  </cols>
  <sheetData>
    <row r="1">
      <c r="A1" t="str">
        <v>MODELO CPA — valor fixo por cliente qualificado</v>
      </c>
    </row>
    <row r="3">
      <c r="A3" t="str">
        <v>ENTRADAS (edite)</v>
      </c>
      <c r="B3" t="str">
        <v/>
      </c>
    </row>
    <row r="4">
      <c r="A4" t="str">
        <v>Valor do CPA no contrato (R$)</v>
      </c>
      <c r="B4" s="1">
        <v>250</v>
      </c>
    </row>
    <row r="5">
      <c r="A5" t="str">
        <v>Cadastros gerados no mês</v>
      </c>
      <c r="B5">
        <v>120</v>
      </c>
    </row>
    <row r="6">
      <c r="A6" t="str">
        <v>% dos cadastros que vira FTD qualificado</v>
      </c>
      <c r="B6" s="2">
        <v>0.35</v>
      </c>
    </row>
    <row r="7">
      <c r="A7" t="str">
        <v>% de estorno/clawback (média histórica)</v>
      </c>
      <c r="B7" s="2">
        <v>0.05</v>
      </c>
    </row>
    <row r="9">
      <c r="A9" t="str">
        <v>RESULTADOS</v>
      </c>
      <c r="B9" t="str">
        <v/>
      </c>
    </row>
    <row r="10">
      <c r="A10" t="str">
        <v>FTDs qualificados no mês</v>
      </c>
      <c r="B10" s="3" t="e">
        <f>B5*B6</f>
      </c>
    </row>
    <row r="11">
      <c r="A11" t="str">
        <v>Comissão bruta (R$)</v>
      </c>
      <c r="B11" s="1" t="e">
        <f>B10*B4</f>
      </c>
    </row>
    <row r="12">
      <c r="A12" t="str">
        <v>Comissão após estorno/clawback (R$)</v>
      </c>
      <c r="B12" s="1" t="e">
        <f>B11*(1-B7)</f>
      </c>
    </row>
    <row r="14">
      <c r="A14" t="str">
        <v>LEMBRETES DE CONTRATO</v>
      </c>
    </row>
    <row r="15">
      <c r="A15" t="str">
        <v>· O que "qualifica" o FTD (depósito mínimo, KYC, rollover) muda TUDO — compare deals pela qualificação, não pelo valor de face.</v>
      </c>
    </row>
    <row r="16">
      <c r="A16" t="str">
        <v>· Pagamento típico: 30–60 dias após o fechamento do mês. Modele seu caixa na aba "Fluxo de caixa".</v>
      </c>
    </row>
    <row r="17">
      <c r="A17" t="str">
        <v>· Há contratos com corte de 50% da comissão em mês sem cliente novo — confira o seu.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58.83203125" customWidth="1"/>
    <col min="2" max="2" width="16.83203125" customWidth="1"/>
  </cols>
  <sheetData>
    <row r="1">
      <c r="A1" t="str">
        <v>MODELO REVSHARE — % recorrente sobre o NGR (não sobre o GGR!)</v>
      </c>
    </row>
    <row r="3">
      <c r="A3" t="str">
        <v>ENTRADAS (edite)</v>
      </c>
      <c r="B3" t="str">
        <v/>
      </c>
    </row>
    <row r="4">
      <c r="A4" t="str">
        <v>GGR gerado pelos seus jogadores no mês (R$)</v>
      </c>
      <c r="B4" s="1">
        <v>50000</v>
      </c>
    </row>
    <row r="5">
      <c r="A5" t="str">
        <v>% descontado de bônus/promoções</v>
      </c>
      <c r="B5" s="2">
        <v>0.15</v>
      </c>
    </row>
    <row r="6">
      <c r="A6" t="str">
        <v>% de taxa administrativa (licença/plataforma/jogos)</v>
      </c>
      <c r="B6" s="2">
        <v>0.1</v>
      </c>
    </row>
    <row r="7">
      <c r="A7" t="str">
        <v>% de impostos e taxas de processamento</v>
      </c>
      <c r="B7" s="2">
        <v>0.12</v>
      </c>
    </row>
    <row r="8">
      <c r="A8" t="str">
        <v>Seu RevShare de contrato (% sobre o NGR)</v>
      </c>
      <c r="B8" s="2">
        <v>0.3</v>
      </c>
    </row>
    <row r="10">
      <c r="A10" t="str">
        <v>RESULTADOS</v>
      </c>
      <c r="B10" t="str">
        <v/>
      </c>
    </row>
    <row r="11">
      <c r="A11" t="str">
        <v>NGR — a base real do seu %</v>
      </c>
      <c r="B11" s="1" t="e">
        <f>B4*(1-B5-B6-B7)</f>
      </c>
    </row>
    <row r="12">
      <c r="A12" t="str">
        <v>Sua comissão do mês (R$)</v>
      </c>
      <c r="B12" s="1" t="e">
        <f>B11*B8</f>
      </c>
    </row>
    <row r="13">
      <c r="A13" t="str">
        <v>% EFETIVO sobre o GGR (compare com o % "de face")</v>
      </c>
      <c r="B13" s="2" t="e">
        <f>B12/B4</f>
      </c>
    </row>
    <row r="15">
      <c r="A15" t="str">
        <v>A LIÇÃO DESTA ABA</v>
      </c>
    </row>
    <row r="16">
      <c r="A16" t="str">
        <v>Com os exemplos acima, um RevShare "de 30%" vira ~19% efetivo sobre a receita bruta.</v>
      </c>
    </row>
    <row r="17">
      <c r="A17" t="str">
        <v>Um programa com % de face MENOR e base mais limpa pode pagar MAIS. Sempre pergunte o que o NGR desconta.</v>
      </c>
    </row>
    <row r="18">
      <c r="A18" t="str">
        <v>Negative carryover: se seus jogadores ganharem da casa no mês, o saldo negativo pode rolar e consumir os próximos meses — verifique a cláusula.</v>
      </c>
    </row>
  </sheetData>
  <ignoredErrors>
    <ignoredError numberStoredAsText="1" sqref="A1:B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58.83203125" customWidth="1"/>
    <col min="2" max="2" width="16.83203125" customWidth="1"/>
  </cols>
  <sheetData>
    <row r="1">
      <c r="A1" t="str">
        <v>MODELO HÍBRIDO — CPA de entrada + RevShare recorrente</v>
      </c>
    </row>
    <row r="3">
      <c r="A3" t="str">
        <v>ENTRADAS (edite)</v>
      </c>
      <c r="B3" t="str">
        <v/>
      </c>
    </row>
    <row r="4">
      <c r="A4" t="str">
        <v>CPA híbrido (R$ — menor que o CPA puro)</v>
      </c>
      <c r="B4" s="1">
        <v>120</v>
      </c>
    </row>
    <row r="5">
      <c r="A5" t="str">
        <v>FTDs qualificados no mês</v>
      </c>
      <c r="B5">
        <v>40</v>
      </c>
    </row>
    <row r="6">
      <c r="A6" t="str">
        <v>RevShare híbrido (% sobre NGR — menor que o REV puro)</v>
      </c>
      <c r="B6" s="2">
        <v>0.15</v>
      </c>
    </row>
    <row r="7">
      <c r="A7" t="str">
        <v>NGR gerado pela sua carteira no mês (R$)</v>
      </c>
      <c r="B7" s="1">
        <v>30000</v>
      </c>
    </row>
    <row r="9">
      <c r="A9" t="str">
        <v>RESULTADOS</v>
      </c>
      <c r="B9" t="str">
        <v/>
      </c>
    </row>
    <row r="10">
      <c r="A10" t="str">
        <v>Parcela CPA (R$)</v>
      </c>
      <c r="B10" s="1" t="e">
        <f>B4*B5</f>
      </c>
    </row>
    <row r="11">
      <c r="A11" t="str">
        <v>Parcela RevShare (R$)</v>
      </c>
      <c r="B11" s="1" t="e">
        <f>B6*B7</f>
      </c>
    </row>
    <row r="12">
      <c r="A12" t="str">
        <v>Comissão total do mês (R$)</v>
      </c>
      <c r="B12" s="1" t="e">
        <f>B10+B11</f>
      </c>
    </row>
    <row r="14">
      <c r="A14" t="str">
        <v>QUANDO O HÍBRIDO VALE A PENA</v>
      </c>
    </row>
    <row r="15">
      <c r="A15" t="str">
        <v>· Audiência que deposita pouco na entrada mas é fiel → o REV recorrente compensa o CPA menor.</v>
      </c>
    </row>
    <row r="16">
      <c r="A16" t="str">
        <v>· Audiência de impulso, sem recorrência → o CPA puro tende a pagar mais.</v>
      </c>
    </row>
    <row r="17">
      <c r="A17" t="str">
        <v>· Rode os três modelos com a SUA carteira antes de negociar — é exatamente esta comparação que o gerente de afiliação espera de uma agência.</v>
      </c>
    </row>
  </sheetData>
  <ignoredErrors>
    <ignoredError numberStoredAsText="1" sqref="A1:B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58.83203125" customWidth="1"/>
    <col min="2" max="2" width="16.83203125" customWidth="1"/>
  </cols>
  <sheetData>
    <row r="1">
      <c r="A1" t="str">
        <v>A CONTA DA AGÊNCIA — spread + override sobre a sub-rede</v>
      </c>
    </row>
    <row r="3">
      <c r="A3" t="str">
        <v>ENTRADAS (edite)</v>
      </c>
      <c r="B3" t="str">
        <v/>
      </c>
    </row>
    <row r="4">
      <c r="A4" t="str">
        <v>CPA negociado com a casa (R$)</v>
      </c>
      <c r="B4" s="1">
        <v>250</v>
      </c>
    </row>
    <row r="5">
      <c r="A5" t="str">
        <v>CPA repassado ao sub-afiliado (R$)</v>
      </c>
      <c r="B5" s="1">
        <v>160</v>
      </c>
    </row>
    <row r="6">
      <c r="A6" t="str">
        <v>FTDs gerados pela rede no mês</v>
      </c>
      <c r="B6">
        <v>200</v>
      </c>
    </row>
    <row r="7">
      <c r="A7" t="str">
        <v>Override sobre a produção dos subs (%)</v>
      </c>
      <c r="B7" s="2">
        <v>0.05</v>
      </c>
    </row>
    <row r="8">
      <c r="A8" t="str">
        <v>Custos fixos da operação/mês (R$)</v>
      </c>
      <c r="B8" s="1">
        <v>8000</v>
      </c>
    </row>
    <row r="10">
      <c r="A10" t="str">
        <v>RESULTADOS</v>
      </c>
      <c r="B10" t="str">
        <v/>
      </c>
    </row>
    <row r="11">
      <c r="A11" t="str">
        <v>Spread por FTD (R$)</v>
      </c>
      <c r="B11" s="1" t="e">
        <f>B4-B5</f>
      </c>
    </row>
    <row r="12">
      <c r="A12" t="str">
        <v>Margem de spread no mês (R$)</v>
      </c>
      <c r="B12" s="1" t="e">
        <f>B11*B6</f>
      </c>
    </row>
    <row r="13">
      <c r="A13" t="str">
        <v>Base de override (repasse total à rede, R$)</v>
      </c>
      <c r="B13" s="1" t="e">
        <f>B5*B6</f>
      </c>
    </row>
    <row r="14">
      <c r="A14" t="str">
        <v>Override no mês (R$)</v>
      </c>
      <c r="B14" s="1" t="e">
        <f>B13*B7</f>
      </c>
    </row>
    <row r="15">
      <c r="A15" t="str">
        <v>Margem bruta da agência (R$)</v>
      </c>
      <c r="B15" s="1" t="e">
        <f>B12+B14</f>
      </c>
    </row>
    <row r="16">
      <c r="A16" t="str">
        <v>Resultado após custos fixos (R$)</v>
      </c>
      <c r="B16" s="1" t="e">
        <f>B15-B8</f>
      </c>
    </row>
    <row r="18">
      <c r="A18" t="str">
        <v>LEMBRETES</v>
      </c>
    </row>
    <row r="19">
      <c r="A19" t="str">
        <v>· O spread remunera gestão, risco e compliance que a agência carrega — não é "taxa escondida"; deixe o modelo claro no contrato com o sub.</v>
      </c>
    </row>
    <row r="20">
      <c r="A20" t="str">
        <v>· Estorno da casa desce espelhado para o repasse (regra de ouro do cap. 4 do guia).</v>
      </c>
    </row>
    <row r="21">
      <c r="A21" t="str">
        <v>· Ponto de equilíbrio: quantos FTDs/mês cobrem seus custos fixos? Brinque com a célula B6.</v>
      </c>
    </row>
  </sheetData>
  <ignoredErrors>
    <ignoredError numberStoredAsText="1" sqref="A1:B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52.83203125" customWidth="1"/>
    <col min="2" max="2" width="22.83203125" customWidth="1"/>
    <col min="3" max="3" width="20.83203125" customWidth="1"/>
    <col min="4" max="4" width="20.83203125" customWidth="1"/>
    <col min="5" max="5" width="18.83203125" customWidth="1"/>
    <col min="6" max="6" width="20.83203125" customWidth="1"/>
  </cols>
  <sheetData>
    <row r="1">
      <c r="A1" t="str">
        <v>FLUXO DE CAIXA — o descasamento produzir → receber → repassar</v>
      </c>
    </row>
    <row r="3">
      <c r="A3" t="str">
        <v>PARÂMETROS (edite)</v>
      </c>
      <c r="B3" t="str">
        <v/>
      </c>
    </row>
    <row r="4">
      <c r="A4" t="str">
        <v>Prazo de recebimento da casa (meses após produzir)</v>
      </c>
      <c r="B4">
        <v>2</v>
      </c>
    </row>
    <row r="5">
      <c r="A5" t="str">
        <v>% da comissão recebida que é repassada à rede</v>
      </c>
      <c r="B5" s="2">
        <v>0.6</v>
      </c>
    </row>
    <row r="6">
      <c r="A6" t="str">
        <v>Comissão apurada por mês (R$) — edite a coluna B da tabela</v>
      </c>
      <c r="B6" t="str">
        <v/>
      </c>
    </row>
    <row r="8">
      <c r="A8" t="str">
        <v>Mês</v>
      </c>
      <c r="B8" t="str">
        <v>Comissão apurada (R$)</v>
      </c>
      <c r="C8" t="str">
        <v>Recebe da casa (R$)</v>
      </c>
      <c r="D8" t="str">
        <v>Repassa à rede (R$)</v>
      </c>
      <c r="E8" t="str">
        <v>Caixa do mês (R$)</v>
      </c>
      <c r="F8" t="str">
        <v>Caixa acumulado (R$)</v>
      </c>
    </row>
    <row r="9">
      <c r="A9" t="str">
        <v>M1</v>
      </c>
      <c r="B9" s="1">
        <v>10000</v>
      </c>
      <c r="C9" s="1">
        <v>0</v>
      </c>
      <c r="D9" s="1">
        <v>0</v>
      </c>
      <c r="E9" s="1" t="e">
        <f>C9-D9</f>
      </c>
      <c r="F9" s="1" t="e">
        <f>E9</f>
      </c>
    </row>
    <row r="10">
      <c r="A10" t="str">
        <v>M2</v>
      </c>
      <c r="B10" s="1">
        <v>14000</v>
      </c>
      <c r="C10" s="1">
        <v>0</v>
      </c>
      <c r="D10" s="1">
        <v>0</v>
      </c>
      <c r="E10" s="1" t="e">
        <f>C10-D10</f>
      </c>
      <c r="F10" s="1" t="e">
        <f>F9+E10</f>
      </c>
    </row>
    <row r="11">
      <c r="A11" t="str">
        <v>M3</v>
      </c>
      <c r="B11" s="1">
        <v>18000</v>
      </c>
      <c r="C11" s="1" t="e">
        <f>B9</f>
      </c>
      <c r="D11" s="1" t="e">
        <f>C11*$B$5</f>
      </c>
      <c r="E11" s="1" t="e">
        <f>C11-D11</f>
      </c>
      <c r="F11" s="1" t="e">
        <f>F10+E11</f>
      </c>
    </row>
    <row r="12">
      <c r="A12" t="str">
        <v>M4</v>
      </c>
      <c r="B12" s="1">
        <v>22000</v>
      </c>
      <c r="C12" s="1" t="e">
        <f>B10</f>
      </c>
      <c r="D12" s="1" t="e">
        <f>C12*$B$5</f>
      </c>
      <c r="E12" s="1" t="e">
        <f>C12-D12</f>
      </c>
      <c r="F12" s="1" t="e">
        <f>F11+E12</f>
      </c>
    </row>
    <row r="13">
      <c r="A13" t="str">
        <v>M5</v>
      </c>
      <c r="B13" s="1">
        <v>26000</v>
      </c>
      <c r="C13" s="1" t="e">
        <f>B11</f>
      </c>
      <c r="D13" s="1" t="e">
        <f>C13*$B$5</f>
      </c>
      <c r="E13" s="1" t="e">
        <f>C13-D13</f>
      </c>
      <c r="F13" s="1" t="e">
        <f>F12+E13</f>
      </c>
    </row>
    <row r="14">
      <c r="A14" t="str">
        <v>M6</v>
      </c>
      <c r="B14" s="1">
        <v>30000</v>
      </c>
      <c r="C14" s="1" t="e">
        <f>B12</f>
      </c>
      <c r="D14" s="1" t="e">
        <f>C14*$B$5</f>
      </c>
      <c r="E14" s="1" t="e">
        <f>C14-D14</f>
      </c>
      <c r="F14" s="1" t="e">
        <f>F13+E14</f>
      </c>
    </row>
    <row r="16">
      <c r="A16" t="str">
        <v>A LIÇÃO DESTA ABA</v>
      </c>
    </row>
    <row r="17">
      <c r="A17" t="str">
        <v>Nos 2 primeiros meses você produz e NÃO recebe — este é o colchão de capital de giro que o cap. 4 do guia manda reservar.</v>
      </c>
    </row>
    <row r="18">
      <c r="A18" t="str">
        <v>Se você repassa à rede ANTES de receber da casa (para pagar em dia — e pagar em dia é o produto), o buraco é ainda maior: simule.</v>
      </c>
    </row>
    <row r="19">
      <c r="A19" t="str">
        <v>Tabela assume recebimento em M+2 (padrão de mercado: fechamento mensal + pagamento no mês seguinte + mínimos de saque).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Leia-me</vt:lpstr>
      <vt:lpstr>CPA</vt:lpstr>
      <vt:lpstr>RevShare</vt:lpstr>
      <vt:lpstr>Híbrido</vt:lpstr>
      <vt:lpstr>Agência</vt:lpstr>
      <vt:lpstr>Fluxo de caixa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